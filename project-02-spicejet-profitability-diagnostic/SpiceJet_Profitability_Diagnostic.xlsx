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ceJet Quarterly Financials" sheetId="1" state="visible" r:id="rId3"/>
    <sheet name="Benchmark vs IndiGo" sheetId="2" state="visible" r:id="rId4"/>
    <sheet name="Profitability Brid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<sst xmlns="http://schemas.openxmlformats.org/spreadsheetml/2006/main" count="107" uniqueCount="91">
  <si>
    <t xml:space="preserve">SpiceJet — Profitability Diagnostic: Quarterly Financials, FY26</t>
  </si>
  <si>
    <t xml:space="preserve">All figures ₹ crore, consolidated, as reported in company results / exchange filings (via press coverage)</t>
  </si>
  <si>
    <t xml:space="preserve">Metric</t>
  </si>
  <si>
    <t xml:space="preserve">Q1 FY26</t>
  </si>
  <si>
    <t xml:space="preserve">Q2 FY26</t>
  </si>
  <si>
    <t xml:space="preserve">Q3 FY26</t>
  </si>
  <si>
    <t xml:space="preserve">Source</t>
  </si>
  <si>
    <t xml:space="preserve">Revenue from operations (₹ cr)</t>
  </si>
  <si>
    <t xml:space="preserve">Business Standard Q1/Q2 FY26 results; Kotak Securities Q3 FY26 report</t>
  </si>
  <si>
    <t xml:space="preserve">YoY revenue growth</t>
  </si>
  <si>
    <t xml:space="preserve">-35.6%</t>
  </si>
  <si>
    <t xml:space="preserve">-13.0%</t>
  </si>
  <si>
    <t xml:space="preserve">+13.8%</t>
  </si>
  <si>
    <t xml:space="preserve">Same as above</t>
  </si>
  <si>
    <t xml:space="preserve">QoQ revenue growth</t>
  </si>
  <si>
    <t xml:space="preserve">n/a</t>
  </si>
  <si>
    <t xml:space="preserve">-31.0%</t>
  </si>
  <si>
    <t xml:space="preserve">+77.7%</t>
  </si>
  <si>
    <t xml:space="preserve">Business Standard (Q2); MarketsMojo (Q3, using total-income base)</t>
  </si>
  <si>
    <t xml:space="preserve">Net profit / (loss) (₹ cr)</t>
  </si>
  <si>
    <t xml:space="preserve">Business Standard; Kotak Securities</t>
  </si>
  <si>
    <t xml:space="preserve">Net profit / (loss), prior year (₹ cr)</t>
  </si>
  <si>
    <t xml:space="preserve">Same as above (Q1FY25, Q2FY25, Q3FY25)</t>
  </si>
  <si>
    <t xml:space="preserve">EBITDA (₹ cr)</t>
  </si>
  <si>
    <t xml:space="preserve">Business Standard (Q1 only reported explicitly)</t>
  </si>
  <si>
    <t xml:space="preserve">EBITDA, prior year (₹ cr)</t>
  </si>
  <si>
    <t xml:space="preserve">Business Standard</t>
  </si>
  <si>
    <t xml:space="preserve">Operating margin (excl. other income)</t>
  </si>
  <si>
    <t xml:space="preserve">-13.4%</t>
  </si>
  <si>
    <t xml:space="preserve">MarketsMojo Q3 FY26 report</t>
  </si>
  <si>
    <t xml:space="preserve">Operating margin, prior year</t>
  </si>
  <si>
    <t xml:space="preserve">-15.9%</t>
  </si>
  <si>
    <t xml:space="preserve">Total expenses (₹ cr)</t>
  </si>
  <si>
    <t xml:space="preserve">Business Standard (Q1); Kotak Securities (Q3)</t>
  </si>
  <si>
    <t xml:space="preserve">Total expenses, prior year (₹ cr)</t>
  </si>
  <si>
    <t xml:space="preserve">YoY expense growth</t>
  </si>
  <si>
    <t xml:space="preserve">-25.2%</t>
  </si>
  <si>
    <t xml:space="preserve">+9.3%</t>
  </si>
  <si>
    <t xml:space="preserve">Passenger Load Factor (PLF)</t>
  </si>
  <si>
    <t xml:space="preserve">86%</t>
  </si>
  <si>
    <t xml:space="preserve">Business Standard Q1 FY26</t>
  </si>
  <si>
    <t xml:space="preserve">Q1 FY26 cost breakdown (₹ cr, YoY change)</t>
  </si>
  <si>
    <t xml:space="preserve">Cost line</t>
  </si>
  <si>
    <t xml:space="preserve">Q1 FY26 (₹ cr)</t>
  </si>
  <si>
    <t xml:space="preserve">YoY change</t>
  </si>
  <si>
    <t xml:space="preserve">Aviation turbine fuel (ATF)</t>
  </si>
  <si>
    <t xml:space="preserve">-41.4%</t>
  </si>
  <si>
    <t xml:space="preserve">Business Standard Q1 FY26 results</t>
  </si>
  <si>
    <t xml:space="preserve">Aircraft lease rental</t>
  </si>
  <si>
    <t xml:space="preserve">-59.0%</t>
  </si>
  <si>
    <t xml:space="preserve">Airport charges</t>
  </si>
  <si>
    <t xml:space="preserve">-11.5%</t>
  </si>
  <si>
    <t xml:space="preserve">Airport / aircraft maintenance</t>
  </si>
  <si>
    <t xml:space="preserve">-4.8%</t>
  </si>
  <si>
    <t xml:space="preserve">Note: figures are drawn from press coverage of company exchange filings, not directly from audited financial statements. Minor cross-source rounding differences exist (e.g. revenue-from-operations vs. total-income bases); the directional pattern — sharp Q1 revenue collapse, Q2 trough, Q3 partial recovery outpacing cost growth — is consistent across every source consulted.</t>
  </si>
  <si>
    <t xml:space="preserve">Q3 FY26 Benchmark: SpiceJet vs. IndiGo (InterGlobe Aviation)</t>
  </si>
  <si>
    <t xml:space="preserve">Both airlines faced the same Q3 FY26 headwinds — labour-code costs, forex, industry-wide engine groundings — with very different outcomes</t>
  </si>
  <si>
    <t xml:space="preserve">SpiceJet</t>
  </si>
  <si>
    <t xml:space="preserve">IndiGo</t>
  </si>
  <si>
    <t xml:space="preserve">Q3 FY26 revenue (₹ cr)</t>
  </si>
  <si>
    <t xml:space="preserve">Kotak Securities (SpiceJet); Bajaj Broking / Zeebiz (IndiGo)</t>
  </si>
  <si>
    <t xml:space="preserve">+6.2%</t>
  </si>
  <si>
    <t xml:space="preserve">Q3 FY26 net profit/(loss) (₹ cr)</t>
  </si>
  <si>
    <t xml:space="preserve">Kotak Securities; Business Standard</t>
  </si>
  <si>
    <t xml:space="preserve">YoY net profit growth</t>
  </si>
  <si>
    <t xml:space="preserve">n/m (loss both years' direction differs)</t>
  </si>
  <si>
    <t xml:space="preserve">-77.6%</t>
  </si>
  <si>
    <t xml:space="preserve">Operating / EBITDA margin</t>
  </si>
  <si>
    <t xml:space="preserve">+22.9%</t>
  </si>
  <si>
    <t xml:space="preserve">MarketsMojo (both)</t>
  </si>
  <si>
    <t xml:space="preserve">EBITDAR margin</t>
  </si>
  <si>
    <t xml:space="preserve">n/a (not separately reported)</t>
  </si>
  <si>
    <t xml:space="preserve">30.0%</t>
  </si>
  <si>
    <t xml:space="preserve">Zeebiz</t>
  </si>
  <si>
    <t xml:space="preserve">Approx. market capitalisation (₹ cr)</t>
  </si>
  <si>
    <t xml:space="preserve">MarketsMojo (SpiceJet, Feb 2026); MarketsMojo (IndiGo, Jan 2026)</t>
  </si>
  <si>
    <t xml:space="preserve">Revenue scale ratio (IndiGo : SpiceJet)</t>
  </si>
  <si>
    <t xml:space="preserve">1x</t>
  </si>
  <si>
    <t xml:space="preserve">~16.7x</t>
  </si>
  <si>
    <t xml:space="preserve">Calculated from above</t>
  </si>
  <si>
    <t xml:space="preserve">Read: IndiGo absorbed the same labour-code and forex shocks (₹969cr and ₹1,035cr exceptional items respectively) within a 22.9% operating margin cushion and still posted a positive net profit. SpiceJet, roughly 1/17th IndiGo's revenue scale, has no comparable margin buffer — the same category of shock pushes it deeper into loss rather than just compressing profit.</t>
  </si>
  <si>
    <t xml:space="preserve">Profitability Bridge: Revenue Growth vs. Cost Growth, by Quarter</t>
  </si>
  <si>
    <t xml:space="preserve">The sign and size of the gap between revenue growth and cost growth explains each quarter's swing into/out of loss</t>
  </si>
  <si>
    <t xml:space="preserve">Quarter</t>
  </si>
  <si>
    <t xml:space="preserve">YoY Revenue Growth</t>
  </si>
  <si>
    <t xml:space="preserve">YoY Cost Growth</t>
  </si>
  <si>
    <t xml:space="preserve">Growth Gap (Revenue − Cost)</t>
  </si>
  <si>
    <t xml:space="preserve">Result</t>
  </si>
  <si>
    <t xml:space="preserve">Revenue fell faster than costs → swung from profit to loss</t>
  </si>
  <si>
    <t xml:space="preserve">Revenue grew faster than costs → loss narrowed vs. Q2</t>
  </si>
  <si>
    <t xml:space="preserve">Note: Q2 FY26 cost figures were not separately disclosed in the sources reviewed, so the bridge is shown for Q1 and Q3 only — the two quarters with matched revenue and expense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</si>
</sst>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E276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SpiceJet: Revenue vs. Net Profit/(Loss), FY26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Financials'!$B$5</c:f>
              <c:numCache>
                <c:formatCode>General</c:formatCode>
                <c:ptCount val="1"/>
                <c:pt idx="0">
                  <c:v>1060</c:v>
                </c:pt>
              </c:numCache>
            </c:numRef>
          </c:val>
        </c:ser>
        <c:ser>
          <c:idx val="1"/>
          <c:order val="1"/>
          <c:tx>
            <c:strRef>
              <c:f>"Net Profit/(Loss)"</c:f>
              <c:strCache>
                <c:ptCount val="1"/>
                <c:pt idx="0">
                  <c:v>Net Profit/(Loss)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Financials'!$C$5</c:f>
              <c:numCache>
                <c:formatCode>General</c:formatCode>
                <c:ptCount val="1"/>
                <c:pt idx="0">
                  <c:v>708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Financials'!$D$5</c:f>
              <c:numCache>
                <c:formatCode>General</c:formatCode>
                <c:ptCount val="1"/>
                <c:pt idx="0">
                  <c:v>1408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Financials'!$B$8</c:f>
              <c:numCache>
                <c:formatCode>General</c:formatCode>
                <c:ptCount val="1"/>
                <c:pt idx="0">
                  <c:v>-234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Financials'!$C$8</c:f>
              <c:numCache>
                <c:formatCode>General</c:formatCode>
                <c:ptCount val="1"/>
                <c:pt idx="0">
                  <c:v>-621</c:v>
                </c:pt>
              </c:numCache>
            </c:numRef>
          </c:val>
        </c:ser>
        <c:ser>
          <c:idx val="5"/>
          <c:order val="5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'SpiceJet Quarterly Financials'!$B$4:$D$4</c:f>
              <c:multiLvlStrCache>
                <c:ptCount val="1"/>
                <c:lvl>
                  <c:pt idx="0">
                    <c:v>Q3 FY26</c:v>
                  </c:pt>
                </c:lvl>
                <c:lvl>
                  <c:pt idx="0">
                    <c:v>Q2 FY26</c:v>
                  </c:pt>
                </c:lvl>
                <c:lvl>
                  <c:pt idx="0">
                    <c:v>Q1 FY26</c:v>
                  </c:pt>
                </c:lvl>
              </c:multiLvlStrCache>
            </c:multiLvlStrRef>
          </c:cat>
          <c:val>
            <c:numRef>
              <c:f>'SpiceJet Quarterly Financials'!$D$8</c:f>
              <c:numCache>
                <c:formatCode>General</c:formatCode>
                <c:ptCount val="1"/>
                <c:pt idx="0">
                  <c:v>-261</c:v>
                </c:pt>
              </c:numCache>
            </c:numRef>
          </c:val>
        </c:ser>
        <c:gapWidth val="150"/>
        <c:overlap val="0"/>
        <c:axId val="58726145"/>
        <c:axId val="33091202"/>
      </c:barChart>
      <c:catAx>
        <c:axId val="587261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1202"/>
        <c:crosses val="autoZero"/>
        <c:auto val="1"/>
        <c:lblAlgn val="ctr"/>
        <c:lblOffset val="100"/>
        <c:noMultiLvlLbl val="0"/>
      </c:catAx>
      <c:valAx>
        <c:axId val="33091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261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562680</xdr:rowOff>
    </xdr:from>
    <xdr:to>
      <xdr:col>4</xdr:col>
      <xdr:colOff>2054160</xdr:colOff>
      <xdr:row>43</xdr:row>
      <xdr:rowOff>182880</xdr:rowOff>
    </xdr:to>
    <xdr:graphicFrame>
      <xdr:nvGraphicFramePr>
        <xdr:cNvPr id="0" name="Chart 1"/>
        <xdr:cNvGraphicFramePr/>
      </xdr:nvGraphicFramePr>
      <xdr:xfrm>
        <a:off x="0" y="5715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1060</v>
      </c>
      <c r="C5" s="4" t="n">
        <v>708</v>
      </c>
      <c r="D5" s="4" t="n">
        <v>1408</v>
      </c>
      <c r="E5" s="5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  <c r="E7" s="5" t="s">
        <v>18</v>
      </c>
    </row>
    <row r="8" customFormat="false" ht="15" hidden="false" customHeight="false" outlineLevel="0" collapsed="false">
      <c r="A8" s="4" t="s">
        <v>19</v>
      </c>
      <c r="B8" s="4" t="n">
        <v>-234</v>
      </c>
      <c r="C8" s="4" t="n">
        <v>-621</v>
      </c>
      <c r="D8" s="4" t="n">
        <v>-261</v>
      </c>
      <c r="E8" s="5" t="s">
        <v>20</v>
      </c>
    </row>
    <row r="9" customFormat="false" ht="15" hidden="false" customHeight="false" outlineLevel="0" collapsed="false">
      <c r="A9" s="4" t="s">
        <v>21</v>
      </c>
      <c r="B9" s="4" t="n">
        <v>158</v>
      </c>
      <c r="C9" s="4" t="n">
        <v>-458</v>
      </c>
      <c r="D9" s="4" t="n">
        <v>20</v>
      </c>
      <c r="E9" s="5" t="s">
        <v>22</v>
      </c>
    </row>
    <row r="10" customFormat="false" ht="15" hidden="false" customHeight="false" outlineLevel="0" collapsed="false">
      <c r="A10" s="4" t="s">
        <v>23</v>
      </c>
      <c r="B10" s="4" t="n">
        <v>-18</v>
      </c>
      <c r="C10" s="4"/>
      <c r="D10" s="4"/>
      <c r="E10" s="5" t="s">
        <v>24</v>
      </c>
    </row>
    <row r="11" customFormat="false" ht="15" hidden="false" customHeight="false" outlineLevel="0" collapsed="false">
      <c r="A11" s="4" t="s">
        <v>25</v>
      </c>
      <c r="B11" s="4" t="n">
        <v>402</v>
      </c>
      <c r="C11" s="4"/>
      <c r="D11" s="4"/>
      <c r="E11" s="5" t="s">
        <v>26</v>
      </c>
    </row>
    <row r="12" customFormat="false" ht="15" hidden="false" customHeight="false" outlineLevel="0" collapsed="false">
      <c r="A12" s="4" t="s">
        <v>27</v>
      </c>
      <c r="B12" s="4"/>
      <c r="C12" s="4"/>
      <c r="D12" s="4" t="s">
        <v>28</v>
      </c>
      <c r="E12" s="5" t="s">
        <v>29</v>
      </c>
    </row>
    <row r="13" customFormat="false" ht="15" hidden="false" customHeight="false" outlineLevel="0" collapsed="false">
      <c r="A13" s="4" t="s">
        <v>30</v>
      </c>
      <c r="B13" s="4"/>
      <c r="C13" s="4"/>
      <c r="D13" s="4" t="s">
        <v>31</v>
      </c>
      <c r="E13" s="5" t="s">
        <v>29</v>
      </c>
    </row>
    <row r="14" customFormat="false" ht="15" hidden="false" customHeight="false" outlineLevel="0" collapsed="false">
      <c r="A14" s="4" t="s">
        <v>32</v>
      </c>
      <c r="B14" s="4" t="n">
        <v>1435</v>
      </c>
      <c r="C14" s="4"/>
      <c r="D14" s="4" t="n">
        <v>1787</v>
      </c>
      <c r="E14" s="5" t="s">
        <v>33</v>
      </c>
    </row>
    <row r="15" customFormat="false" ht="15" hidden="false" customHeight="false" outlineLevel="0" collapsed="false">
      <c r="A15" s="4" t="s">
        <v>34</v>
      </c>
      <c r="B15" s="4" t="n">
        <v>1920</v>
      </c>
      <c r="C15" s="4"/>
      <c r="D15" s="4" t="n">
        <v>1634</v>
      </c>
      <c r="E15" s="5" t="s">
        <v>20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4"/>
      <c r="D16" s="4" t="s">
        <v>37</v>
      </c>
      <c r="E16" s="5" t="s">
        <v>13</v>
      </c>
    </row>
    <row r="17" customFormat="false" ht="15" hidden="false" customHeight="false" outlineLevel="0" collapsed="false">
      <c r="A17" s="4" t="s">
        <v>38</v>
      </c>
      <c r="B17" s="4" t="s">
        <v>39</v>
      </c>
      <c r="C17" s="4"/>
      <c r="D17" s="4"/>
      <c r="E17" s="5" t="s">
        <v>40</v>
      </c>
    </row>
    <row r="19" customFormat="false" ht="15" hidden="false" customHeight="false" outlineLevel="0" collapsed="false">
      <c r="A19" s="6" t="s">
        <v>41</v>
      </c>
    </row>
    <row r="20" customFormat="false" ht="28.35" hidden="false" customHeight="false" outlineLevel="0" collapsed="false">
      <c r="A20" s="3" t="s">
        <v>42</v>
      </c>
      <c r="B20" s="3" t="s">
        <v>43</v>
      </c>
      <c r="C20" s="3" t="s">
        <v>44</v>
      </c>
      <c r="D20" s="3" t="s">
        <v>6</v>
      </c>
    </row>
    <row r="21" customFormat="false" ht="15" hidden="false" customHeight="false" outlineLevel="0" collapsed="false">
      <c r="A21" s="4" t="s">
        <v>45</v>
      </c>
      <c r="B21" s="4" t="n">
        <v>383.49</v>
      </c>
      <c r="C21" s="4" t="s">
        <v>46</v>
      </c>
      <c r="D21" s="5" t="s">
        <v>47</v>
      </c>
    </row>
    <row r="22" customFormat="false" ht="15" hidden="false" customHeight="false" outlineLevel="0" collapsed="false">
      <c r="A22" s="4" t="s">
        <v>48</v>
      </c>
      <c r="B22" s="4" t="n">
        <v>101.85</v>
      </c>
      <c r="C22" s="4" t="s">
        <v>49</v>
      </c>
      <c r="D22" s="5" t="s">
        <v>47</v>
      </c>
    </row>
    <row r="23" customFormat="false" ht="15" hidden="false" customHeight="false" outlineLevel="0" collapsed="false">
      <c r="A23" s="4" t="s">
        <v>50</v>
      </c>
      <c r="B23" s="4" t="n">
        <v>134.69</v>
      </c>
      <c r="C23" s="4" t="s">
        <v>51</v>
      </c>
      <c r="D23" s="5" t="s">
        <v>47</v>
      </c>
    </row>
    <row r="24" customFormat="false" ht="15" hidden="false" customHeight="false" outlineLevel="0" collapsed="false">
      <c r="A24" s="4" t="s">
        <v>52</v>
      </c>
      <c r="B24" s="4" t="n">
        <v>168.24</v>
      </c>
      <c r="C24" s="4" t="s">
        <v>53</v>
      </c>
      <c r="D24" s="5" t="s">
        <v>47</v>
      </c>
    </row>
    <row r="27" customFormat="false" ht="45" hidden="false" customHeight="true" outlineLevel="0" collapsed="false">
      <c r="A27" s="7" t="s">
        <v>54</v>
      </c>
      <c r="B27" s="7"/>
      <c r="C27" s="7"/>
      <c r="D27" s="7"/>
      <c r="E27" s="7"/>
    </row>
  </sheetData>
  <mergeCells count="1"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2</v>
      </c>
      <c r="B4" s="3" t="s">
        <v>57</v>
      </c>
      <c r="C4" s="3" t="s">
        <v>58</v>
      </c>
      <c r="D4" s="3" t="s">
        <v>6</v>
      </c>
    </row>
    <row r="5" customFormat="false" ht="15" hidden="false" customHeight="false" outlineLevel="0" collapsed="false">
      <c r="A5" s="4" t="s">
        <v>59</v>
      </c>
      <c r="B5" s="4" t="n">
        <v>1408</v>
      </c>
      <c r="C5" s="4" t="n">
        <v>23472</v>
      </c>
      <c r="D5" s="5" t="s">
        <v>60</v>
      </c>
    </row>
    <row r="6" customFormat="false" ht="15" hidden="false" customHeight="false" outlineLevel="0" collapsed="false">
      <c r="A6" s="4" t="s">
        <v>9</v>
      </c>
      <c r="B6" s="4" t="s">
        <v>12</v>
      </c>
      <c r="C6" s="4" t="s">
        <v>61</v>
      </c>
      <c r="D6" s="5" t="s">
        <v>13</v>
      </c>
    </row>
    <row r="7" customFormat="false" ht="15" hidden="false" customHeight="false" outlineLevel="0" collapsed="false">
      <c r="A7" s="4" t="s">
        <v>62</v>
      </c>
      <c r="B7" s="4" t="n">
        <v>-261</v>
      </c>
      <c r="C7" s="4" t="n">
        <v>550</v>
      </c>
      <c r="D7" s="5" t="s">
        <v>63</v>
      </c>
    </row>
    <row r="8" customFormat="false" ht="15" hidden="false" customHeight="false" outlineLevel="0" collapsed="false">
      <c r="A8" s="4" t="s">
        <v>64</v>
      </c>
      <c r="B8" s="4" t="s">
        <v>65</v>
      </c>
      <c r="C8" s="4" t="s">
        <v>66</v>
      </c>
      <c r="D8" s="5" t="s">
        <v>13</v>
      </c>
    </row>
    <row r="9" customFormat="false" ht="15" hidden="false" customHeight="false" outlineLevel="0" collapsed="false">
      <c r="A9" s="4" t="s">
        <v>67</v>
      </c>
      <c r="B9" s="4" t="s">
        <v>28</v>
      </c>
      <c r="C9" s="4" t="s">
        <v>68</v>
      </c>
      <c r="D9" s="5" t="s">
        <v>69</v>
      </c>
    </row>
    <row r="10" customFormat="false" ht="15" hidden="false" customHeight="false" outlineLevel="0" collapsed="false">
      <c r="A10" s="4" t="s">
        <v>70</v>
      </c>
      <c r="B10" s="4" t="s">
        <v>71</v>
      </c>
      <c r="C10" s="4" t="s">
        <v>72</v>
      </c>
      <c r="D10" s="5" t="s">
        <v>73</v>
      </c>
    </row>
    <row r="11" customFormat="false" ht="15" hidden="false" customHeight="false" outlineLevel="0" collapsed="false">
      <c r="A11" s="4" t="s">
        <v>74</v>
      </c>
      <c r="B11" s="4" t="n">
        <v>3034</v>
      </c>
      <c r="C11" s="4" t="n">
        <v>190048</v>
      </c>
      <c r="D11" s="5" t="s">
        <v>75</v>
      </c>
    </row>
    <row r="12" customFormat="false" ht="15" hidden="false" customHeight="false" outlineLevel="0" collapsed="false">
      <c r="A12" s="4" t="s">
        <v>76</v>
      </c>
      <c r="B12" s="4" t="s">
        <v>77</v>
      </c>
      <c r="C12" s="4" t="s">
        <v>78</v>
      </c>
      <c r="D12" s="5" t="s">
        <v>79</v>
      </c>
    </row>
    <row r="14" customFormat="false" ht="45" hidden="false" customHeight="true" outlineLevel="0" collapsed="false">
      <c r="A14" s="7" t="s">
        <v>80</v>
      </c>
      <c r="B14" s="7"/>
      <c r="C14" s="7"/>
      <c r="D14" s="7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28.3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</row>
    <row r="5" customFormat="false" ht="15" hidden="false" customHeight="false" outlineLevel="0" collapsed="false">
      <c r="A5" s="4" t="s">
        <v>3</v>
      </c>
      <c r="B5" s="8" t="n">
        <v>-0.356</v>
      </c>
      <c r="C5" s="8" t="n">
        <v>-0.252</v>
      </c>
      <c r="D5" s="8" t="n">
        <f aca="false">B5-C5</f>
        <v>-0.104</v>
      </c>
      <c r="E5" s="9" t="s">
        <v>88</v>
      </c>
    </row>
    <row r="6" customFormat="false" ht="15" hidden="false" customHeight="false" outlineLevel="0" collapsed="false">
      <c r="A6" s="4" t="s">
        <v>5</v>
      </c>
      <c r="B6" s="8" t="n">
        <v>0.138</v>
      </c>
      <c r="C6" s="8" t="n">
        <v>0.093</v>
      </c>
      <c r="D6" s="8" t="n">
        <f aca="false">B6-C6</f>
        <v>0.045</v>
      </c>
      <c r="E6" s="9" t="s">
        <v>89</v>
      </c>
    </row>
    <row r="9" customFormat="false" ht="30" hidden="false" customHeight="true" outlineLevel="0" collapsed="false">
      <c r="A9" s="7" t="s">
        <v>90</v>
      </c>
      <c r="B9" s="7"/>
      <c r="C9" s="7"/>
      <c r="D9" s="7"/>
      <c r="E9" s="7"/>
    </row>
  </sheetData>
  <mergeCells count="1"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2026-07-18T02:19:04Z</dcterms:created>
  <dc:creator>openpyxl</dc:creator>
  <dc:description/>
  <dc:language>en-US</dc:language>
  <cp:lastModifiedBy/>
  <dcterms:modified xsi:type="dcterms:W3CDTF">2026-07-18T02:19:10Z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