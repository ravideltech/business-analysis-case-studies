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tore Breakeven Model" sheetId="2" state="visible" r:id="rId4"/>
    <sheet name="Portfolio Rollou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<sst xmlns="http://schemas.openxmlformats.org/spreadsheetml/2006/main" count="49" uniqueCount="48">
  <si>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FreshGo Retail — Tier-2 Quick-Commerce Entry</t>
  </si>
  <si>
    <t xml:space="preserve">Key Assumptions (edit yellow cells)</t>
  </si>
  <si>
    <t xml:space="preserve">Assumption</t>
  </si>
  <si>
    <t xml:space="preserve">Value</t>
  </si>
  <si>
    <t xml:space="preserve">Source / Note</t>
  </si>
  <si>
    <t xml:space="preserve">Average Order Value (AOV)</t>
  </si>
  <si>
    <t xml:space="preserve">₹/order — Chiratae Ventures: viable AOV band ₹500-700 for QC breakeven</t>
  </si>
  <si>
    <t xml:space="preserve">Gross margin on goods sold</t>
  </si>
  <si>
    <t xml:space="preserve">% of AOV — typical Indian grocery/QC blended margin 15-20%</t>
  </si>
  <si>
    <t xml:space="preserve">Variable cost per order (delivery + packing)</t>
  </si>
  <si>
    <t xml:space="preserve">₹/order — industry range ₹40-50/order for last-mile in Tier-2/3</t>
  </si>
  <si>
    <t xml:space="preserve">Fixed cost per dark store per month</t>
  </si>
  <si>
    <t xml:space="preserve">₹ — rent + staff + utilities + refrigeration, Tier-2 city estimate</t>
  </si>
  <si>
    <t xml:space="preserve">Store buildout / setup cost (one-time)</t>
  </si>
  <si>
    <t xml:space="preserve">₹ — fit-out, racking, refrigeration, tech, initial inventory</t>
  </si>
  <si>
    <t xml:space="preserve">Month 1 daily order volume</t>
  </si>
  <si>
    <t xml:space="preserve">orders/day — conservative Tier-2 launch ramp</t>
  </si>
  <si>
    <t xml:space="preserve">Month 12 target daily order volume</t>
  </si>
  <si>
    <t xml:space="preserve">orders/day — vs. non-metro average ~850/day per Redseer; phased target</t>
  </si>
  <si>
    <t xml:space="preserve">Month 24 target daily order volume</t>
  </si>
  <si>
    <t xml:space="preserve">orders/day — approaching non-metro breakeven range</t>
  </si>
  <si>
    <t xml:space="preserve">Days per month</t>
  </si>
  <si>
    <t xml:space="preserve">for monthly order volume calculation</t>
  </si>
  <si>
    <t xml:space="preserve">Number of dark stores in Wave 1 pilot</t>
  </si>
  <si>
    <t xml:space="preserve">cities selected per prioritization criteria (see deck)</t>
  </si>
  <si>
    <t xml:space="preserve">Sources: Chiratae Ventures QC dark-store economics note (2025); Redseer dark-store OPD/breakeven analysis (Feb 2026); Business Model Hub cost-per-order range (Apr 2026); ResearchAndMarkets India Quick Commerce Databook Q1 2026.</t>
  </si>
  <si>
    <t xml:space="preserve">Single Dark Store — 24-Month Breakeven Model</t>
  </si>
  <si>
    <t xml:space="preserve">Orders/day ramps linearly Month 1 → Month 12 → Month 24 (see Assumptions)</t>
  </si>
  <si>
    <t xml:space="preserve">Month</t>
  </si>
  <si>
    <t xml:space="preserve">Orders/Day</t>
  </si>
  <si>
    <t xml:space="preserve">Orders/Month</t>
  </si>
  <si>
    <t xml:space="preserve">Revenue (₹)</t>
  </si>
  <si>
    <t xml:space="preserve">Gross Profit (₹)</t>
  </si>
  <si>
    <t xml:space="preserve">Variable Cost (₹)</t>
  </si>
  <si>
    <t xml:space="preserve">Contribution Margin (₹)</t>
  </si>
  <si>
    <t xml:space="preserve">Fixed Cost (₹)</t>
  </si>
  <si>
    <t xml:space="preserve">Monthly Net (₹)</t>
  </si>
  <si>
    <t xml:space="preserve">Cumulative Net incl. Setup (₹)</t>
  </si>
  <si>
    <t xml:space="preserve">Estimated payback month (cumulative net turns positive):</t>
  </si>
  <si>
    <t xml:space="preserve">Wave 1 Pilot — Portfolio Summary (10 Dark Stores)</t>
  </si>
  <si>
    <t xml:space="preserve">Assumes staggered launch: 1 store every 6 weeks; each store follows the single-store ramp</t>
  </si>
  <si>
    <t xml:space="preserve">Metric</t>
  </si>
  <si>
    <t xml:space="preserve">Total setup capex (10 stores)</t>
  </si>
  <si>
    <t xml:space="preserve">Steady-state monthly contribution margin per store (Month 24)</t>
  </si>
  <si>
    <t xml:space="preserve">Steady-state portfolio monthly contribution margin (10 stores)</t>
  </si>
  <si>
    <t xml:space="preserve">Single-store payback period</t>
  </si>
  <si>
    <t xml:space="preserve">Recommended Wave 1 city count</t>
  </si>
  <si>
    <t xml:space="preserve">Note: This is an illustrative model built on publicly available industry benchmarks (not company-reported financials) to test entry feasibility directionally. Actual figures would require primary due diligence with real estate, staffing, and demand data.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</si>
</sst>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;\(#,##0\)"/>
    <numFmt numFmtId="168" formatCode="General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3C7E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i val="true"/>
      <sz val="8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2F3C7E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3C7E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2F3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Cash Flow — Single Dark Store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'Store Breakeven Model'!J4</c:f>
              <c:strCache>
                <c:ptCount val="1"/>
                <c:pt idx="0">
                  <c:v>Cumulative Net incl. Setup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Breakeven Model'!$A$5:$A$28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'Store Breakeven Model'!$J$5:$J$28</c:f>
              <c:numCache>
                <c:formatCode>#,##0;\(#,##0\)</c:formatCode>
                <c:ptCount val="24"/>
                <c:pt idx="0">
                  <c:v>-1155600</c:v>
                </c:pt>
                <c:pt idx="1">
                  <c:v>-1355236.36363636</c:v>
                </c:pt>
                <c:pt idx="2">
                  <c:v>-1498909.09090909</c:v>
                </c:pt>
                <c:pt idx="3">
                  <c:v>-1586618.18181818</c:v>
                </c:pt>
                <c:pt idx="4">
                  <c:v>-1618363.63636364</c:v>
                </c:pt>
                <c:pt idx="5">
                  <c:v>-1594145.45454545</c:v>
                </c:pt>
                <c:pt idx="6">
                  <c:v>-1513963.63636364</c:v>
                </c:pt>
                <c:pt idx="7">
                  <c:v>-1377818.18181818</c:v>
                </c:pt>
                <c:pt idx="8">
                  <c:v>-1185709.09090909</c:v>
                </c:pt>
                <c:pt idx="9">
                  <c:v>-937636.363636363</c:v>
                </c:pt>
                <c:pt idx="10">
                  <c:v>-633600</c:v>
                </c:pt>
                <c:pt idx="11">
                  <c:v>-273600</c:v>
                </c:pt>
                <c:pt idx="12">
                  <c:v>140400</c:v>
                </c:pt>
                <c:pt idx="13">
                  <c:v>608400.000000001</c:v>
                </c:pt>
                <c:pt idx="14">
                  <c:v>1130400</c:v>
                </c:pt>
                <c:pt idx="15">
                  <c:v>1706400</c:v>
                </c:pt>
                <c:pt idx="16">
                  <c:v>2336400</c:v>
                </c:pt>
                <c:pt idx="17">
                  <c:v>3020400</c:v>
                </c:pt>
                <c:pt idx="18">
                  <c:v>3758400</c:v>
                </c:pt>
                <c:pt idx="19">
                  <c:v>4550400</c:v>
                </c:pt>
                <c:pt idx="20">
                  <c:v>5396400</c:v>
                </c:pt>
                <c:pt idx="21">
                  <c:v>6296400</c:v>
                </c:pt>
                <c:pt idx="22">
                  <c:v>7250400</c:v>
                </c:pt>
                <c:pt idx="23">
                  <c:v>8258400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3492"/>
        <c:axId val="39812220"/>
      </c:lineChart>
      <c:catAx>
        <c:axId val="653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12220"/>
        <c:crosses val="autoZero"/>
        <c:auto val="1"/>
        <c:lblAlgn val="ctr"/>
        <c:lblOffset val="100"/>
        <c:noMultiLvlLbl val="0"/>
      </c:catAx>
      <c:valAx>
        <c:axId val="39812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160560</xdr:rowOff>
    </xdr:from>
    <xdr:to>
      <xdr:col>6</xdr:col>
      <xdr:colOff>276840</xdr:colOff>
      <xdr:row>45</xdr:row>
      <xdr:rowOff>182880</xdr:rowOff>
    </xdr:to>
    <xdr:graphicFrame>
      <xdr:nvGraphicFramePr>
        <xdr:cNvPr id="0" name="Chart 1"/>
        <xdr:cNvGraphicFramePr/>
      </xdr:nvGraphicFramePr>
      <xdr:xfrm>
        <a:off x="0" y="5905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550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0.18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45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450000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900000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120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500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5" t="n">
        <v>900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5" t="n">
        <v>30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5" t="n">
        <v>10</v>
      </c>
      <c r="C14" s="6" t="s">
        <v>24</v>
      </c>
    </row>
    <row r="16" customFormat="false" ht="30" hidden="false" customHeight="true" outlineLevel="0" collapsed="false">
      <c r="A16" s="8" t="s">
        <v>25</v>
      </c>
      <c r="B16" s="8"/>
      <c r="C16" s="8"/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</row>
    <row r="5" customFormat="false" ht="15" hidden="false" customHeight="false" outlineLevel="0" collapsed="false">
      <c r="A5" s="4" t="n">
        <v>1</v>
      </c>
      <c r="B5" s="9" t="n">
        <f aca="false">Assumptions!$B$10+(Assumptions!$B$11-Assumptions!$B$10)*(A5-1)/11</f>
        <v>120</v>
      </c>
      <c r="C5" s="9" t="n">
        <f aca="false">B5*Assumptions!$B$13</f>
        <v>3600</v>
      </c>
      <c r="D5" s="9" t="n">
        <f aca="false">C5*Assumptions!$B$5</f>
        <v>1980000</v>
      </c>
      <c r="E5" s="9" t="n">
        <f aca="false">D5*Assumptions!$B$6</f>
        <v>356400</v>
      </c>
      <c r="F5" s="9" t="n">
        <f aca="false">C5*Assumptions!$B$7</f>
        <v>162000</v>
      </c>
      <c r="G5" s="9" t="n">
        <f aca="false">E5-F5</f>
        <v>194400</v>
      </c>
      <c r="H5" s="9" t="n">
        <f aca="false">Assumptions!$B$8</f>
        <v>450000</v>
      </c>
      <c r="I5" s="10" t="n">
        <f aca="false">G5-H5</f>
        <v>-255600</v>
      </c>
      <c r="J5" s="10" t="n">
        <f aca="false">I5-Assumptions!$B$9</f>
        <v>-1155600</v>
      </c>
    </row>
    <row r="6" customFormat="false" ht="15" hidden="false" customHeight="false" outlineLevel="0" collapsed="false">
      <c r="A6" s="4" t="n">
        <v>2</v>
      </c>
      <c r="B6" s="9" t="n">
        <f aca="false">Assumptions!$B$10+(Assumptions!$B$11-Assumptions!$B$10)*(A6-1)/11</f>
        <v>154.545454545455</v>
      </c>
      <c r="C6" s="9" t="n">
        <f aca="false">B6*Assumptions!$B$13</f>
        <v>4636.36363636364</v>
      </c>
      <c r="D6" s="9" t="n">
        <f aca="false">C6*Assumptions!$B$5</f>
        <v>2550000</v>
      </c>
      <c r="E6" s="9" t="n">
        <f aca="false">D6*Assumptions!$B$6</f>
        <v>459000</v>
      </c>
      <c r="F6" s="9" t="n">
        <f aca="false">C6*Assumptions!$B$7</f>
        <v>208636.363636364</v>
      </c>
      <c r="G6" s="9" t="n">
        <f aca="false">E6-F6</f>
        <v>250363.636363636</v>
      </c>
      <c r="H6" s="9" t="n">
        <f aca="false">Assumptions!$B$8</f>
        <v>450000</v>
      </c>
      <c r="I6" s="10" t="n">
        <f aca="false">G6-H6</f>
        <v>-199636.363636364</v>
      </c>
      <c r="J6" s="10" t="n">
        <f aca="false">J5+I6</f>
        <v>-1355236.36363636</v>
      </c>
    </row>
    <row r="7" customFormat="false" ht="15" hidden="false" customHeight="false" outlineLevel="0" collapsed="false">
      <c r="A7" s="4" t="n">
        <v>3</v>
      </c>
      <c r="B7" s="9" t="n">
        <f aca="false">Assumptions!$B$10+(Assumptions!$B$11-Assumptions!$B$10)*(A7-1)/11</f>
        <v>189.090909090909</v>
      </c>
      <c r="C7" s="9" t="n">
        <f aca="false">B7*Assumptions!$B$13</f>
        <v>5672.72727272727</v>
      </c>
      <c r="D7" s="9" t="n">
        <f aca="false">C7*Assumptions!$B$5</f>
        <v>3120000</v>
      </c>
      <c r="E7" s="9" t="n">
        <f aca="false">D7*Assumptions!$B$6</f>
        <v>561600</v>
      </c>
      <c r="F7" s="9" t="n">
        <f aca="false">C7*Assumptions!$B$7</f>
        <v>255272.727272727</v>
      </c>
      <c r="G7" s="9" t="n">
        <f aca="false">E7-F7</f>
        <v>306327.272727273</v>
      </c>
      <c r="H7" s="9" t="n">
        <f aca="false">Assumptions!$B$8</f>
        <v>450000</v>
      </c>
      <c r="I7" s="10" t="n">
        <f aca="false">G7-H7</f>
        <v>-143672.727272727</v>
      </c>
      <c r="J7" s="10" t="n">
        <f aca="false">J6+I7</f>
        <v>-1498909.09090909</v>
      </c>
    </row>
    <row r="8" customFormat="false" ht="15" hidden="false" customHeight="false" outlineLevel="0" collapsed="false">
      <c r="A8" s="4" t="n">
        <v>4</v>
      </c>
      <c r="B8" s="9" t="n">
        <f aca="false">Assumptions!$B$10+(Assumptions!$B$11-Assumptions!$B$10)*(A8-1)/11</f>
        <v>223.636363636364</v>
      </c>
      <c r="C8" s="9" t="n">
        <f aca="false">B8*Assumptions!$B$13</f>
        <v>6709.09090909091</v>
      </c>
      <c r="D8" s="9" t="n">
        <f aca="false">C8*Assumptions!$B$5</f>
        <v>3690000</v>
      </c>
      <c r="E8" s="9" t="n">
        <f aca="false">D8*Assumptions!$B$6</f>
        <v>664200</v>
      </c>
      <c r="F8" s="9" t="n">
        <f aca="false">C8*Assumptions!$B$7</f>
        <v>301909.090909091</v>
      </c>
      <c r="G8" s="9" t="n">
        <f aca="false">E8-F8</f>
        <v>362290.909090909</v>
      </c>
      <c r="H8" s="9" t="n">
        <f aca="false">Assumptions!$B$8</f>
        <v>450000</v>
      </c>
      <c r="I8" s="10" t="n">
        <f aca="false">G8-H8</f>
        <v>-87709.0909090909</v>
      </c>
      <c r="J8" s="10" t="n">
        <f aca="false">J7+I8</f>
        <v>-1586618.18181818</v>
      </c>
    </row>
    <row r="9" customFormat="false" ht="15" hidden="false" customHeight="false" outlineLevel="0" collapsed="false">
      <c r="A9" s="4" t="n">
        <v>5</v>
      </c>
      <c r="B9" s="9" t="n">
        <f aca="false">Assumptions!$B$10+(Assumptions!$B$11-Assumptions!$B$10)*(A9-1)/11</f>
        <v>258.181818181818</v>
      </c>
      <c r="C9" s="9" t="n">
        <f aca="false">B9*Assumptions!$B$13</f>
        <v>7745.45454545455</v>
      </c>
      <c r="D9" s="9" t="n">
        <f aca="false">C9*Assumptions!$B$5</f>
        <v>4260000</v>
      </c>
      <c r="E9" s="9" t="n">
        <f aca="false">D9*Assumptions!$B$6</f>
        <v>766800</v>
      </c>
      <c r="F9" s="9" t="n">
        <f aca="false">C9*Assumptions!$B$7</f>
        <v>348545.454545455</v>
      </c>
      <c r="G9" s="9" t="n">
        <f aca="false">E9-F9</f>
        <v>418254.545454545</v>
      </c>
      <c r="H9" s="9" t="n">
        <f aca="false">Assumptions!$B$8</f>
        <v>450000</v>
      </c>
      <c r="I9" s="10" t="n">
        <f aca="false">G9-H9</f>
        <v>-31745.4545454546</v>
      </c>
      <c r="J9" s="10" t="n">
        <f aca="false">J8+I9</f>
        <v>-1618363.63636364</v>
      </c>
    </row>
    <row r="10" customFormat="false" ht="15" hidden="false" customHeight="false" outlineLevel="0" collapsed="false">
      <c r="A10" s="4" t="n">
        <v>6</v>
      </c>
      <c r="B10" s="9" t="n">
        <f aca="false">Assumptions!$B$10+(Assumptions!$B$11-Assumptions!$B$10)*(A10-1)/11</f>
        <v>292.727272727273</v>
      </c>
      <c r="C10" s="9" t="n">
        <f aca="false">B10*Assumptions!$B$13</f>
        <v>8781.81818181818</v>
      </c>
      <c r="D10" s="9" t="n">
        <f aca="false">C10*Assumptions!$B$5</f>
        <v>4830000</v>
      </c>
      <c r="E10" s="9" t="n">
        <f aca="false">D10*Assumptions!$B$6</f>
        <v>869400</v>
      </c>
      <c r="F10" s="9" t="n">
        <f aca="false">C10*Assumptions!$B$7</f>
        <v>395181.818181818</v>
      </c>
      <c r="G10" s="9" t="n">
        <f aca="false">E10-F10</f>
        <v>474218.181818182</v>
      </c>
      <c r="H10" s="9" t="n">
        <f aca="false">Assumptions!$B$8</f>
        <v>450000</v>
      </c>
      <c r="I10" s="10" t="n">
        <f aca="false">G10-H10</f>
        <v>24218.1818181818</v>
      </c>
      <c r="J10" s="10" t="n">
        <f aca="false">J9+I10</f>
        <v>-1594145.45454545</v>
      </c>
    </row>
    <row r="11" customFormat="false" ht="15" hidden="false" customHeight="false" outlineLevel="0" collapsed="false">
      <c r="A11" s="4" t="n">
        <v>7</v>
      </c>
      <c r="B11" s="9" t="n">
        <f aca="false">Assumptions!$B$10+(Assumptions!$B$11-Assumptions!$B$10)*(A11-1)/11</f>
        <v>327.272727272727</v>
      </c>
      <c r="C11" s="9" t="n">
        <f aca="false">B11*Assumptions!$B$13</f>
        <v>9818.18181818182</v>
      </c>
      <c r="D11" s="9" t="n">
        <f aca="false">C11*Assumptions!$B$5</f>
        <v>5400000</v>
      </c>
      <c r="E11" s="9" t="n">
        <f aca="false">D11*Assumptions!$B$6</f>
        <v>972000</v>
      </c>
      <c r="F11" s="9" t="n">
        <f aca="false">C11*Assumptions!$B$7</f>
        <v>441818.181818182</v>
      </c>
      <c r="G11" s="9" t="n">
        <f aca="false">E11-F11</f>
        <v>530181.818181818</v>
      </c>
      <c r="H11" s="9" t="n">
        <f aca="false">Assumptions!$B$8</f>
        <v>450000</v>
      </c>
      <c r="I11" s="10" t="n">
        <f aca="false">G11-H11</f>
        <v>80181.8181818181</v>
      </c>
      <c r="J11" s="10" t="n">
        <f aca="false">J10+I11</f>
        <v>-1513963.63636364</v>
      </c>
    </row>
    <row r="12" customFormat="false" ht="15" hidden="false" customHeight="false" outlineLevel="0" collapsed="false">
      <c r="A12" s="4" t="n">
        <v>8</v>
      </c>
      <c r="B12" s="9" t="n">
        <f aca="false">Assumptions!$B$10+(Assumptions!$B$11-Assumptions!$B$10)*(A12-1)/11</f>
        <v>361.818181818182</v>
      </c>
      <c r="C12" s="9" t="n">
        <f aca="false">B12*Assumptions!$B$13</f>
        <v>10854.5454545455</v>
      </c>
      <c r="D12" s="9" t="n">
        <f aca="false">C12*Assumptions!$B$5</f>
        <v>5970000</v>
      </c>
      <c r="E12" s="9" t="n">
        <f aca="false">D12*Assumptions!$B$6</f>
        <v>1074600</v>
      </c>
      <c r="F12" s="9" t="n">
        <f aca="false">C12*Assumptions!$B$7</f>
        <v>488454.545454545</v>
      </c>
      <c r="G12" s="9" t="n">
        <f aca="false">E12-F12</f>
        <v>586145.454545455</v>
      </c>
      <c r="H12" s="9" t="n">
        <f aca="false">Assumptions!$B$8</f>
        <v>450000</v>
      </c>
      <c r="I12" s="10" t="n">
        <f aca="false">G12-H12</f>
        <v>136145.454545455</v>
      </c>
      <c r="J12" s="10" t="n">
        <f aca="false">J11+I12</f>
        <v>-1377818.18181818</v>
      </c>
    </row>
    <row r="13" customFormat="false" ht="15" hidden="false" customHeight="false" outlineLevel="0" collapsed="false">
      <c r="A13" s="4" t="n">
        <v>9</v>
      </c>
      <c r="B13" s="9" t="n">
        <f aca="false">Assumptions!$B$10+(Assumptions!$B$11-Assumptions!$B$10)*(A13-1)/11</f>
        <v>396.363636363636</v>
      </c>
      <c r="C13" s="9" t="n">
        <f aca="false">B13*Assumptions!$B$13</f>
        <v>11890.9090909091</v>
      </c>
      <c r="D13" s="9" t="n">
        <f aca="false">C13*Assumptions!$B$5</f>
        <v>6540000</v>
      </c>
      <c r="E13" s="9" t="n">
        <f aca="false">D13*Assumptions!$B$6</f>
        <v>1177200</v>
      </c>
      <c r="F13" s="9" t="n">
        <f aca="false">C13*Assumptions!$B$7</f>
        <v>535090.909090909</v>
      </c>
      <c r="G13" s="9" t="n">
        <f aca="false">E13-F13</f>
        <v>642109.090909091</v>
      </c>
      <c r="H13" s="9" t="n">
        <f aca="false">Assumptions!$B$8</f>
        <v>450000</v>
      </c>
      <c r="I13" s="10" t="n">
        <f aca="false">G13-H13</f>
        <v>192109.090909091</v>
      </c>
      <c r="J13" s="10" t="n">
        <f aca="false">J12+I13</f>
        <v>-1185709.09090909</v>
      </c>
    </row>
    <row r="14" customFormat="false" ht="15" hidden="false" customHeight="false" outlineLevel="0" collapsed="false">
      <c r="A14" s="4" t="n">
        <v>10</v>
      </c>
      <c r="B14" s="9" t="n">
        <f aca="false">Assumptions!$B$10+(Assumptions!$B$11-Assumptions!$B$10)*(A14-1)/11</f>
        <v>430.909090909091</v>
      </c>
      <c r="C14" s="9" t="n">
        <f aca="false">B14*Assumptions!$B$13</f>
        <v>12927.2727272727</v>
      </c>
      <c r="D14" s="9" t="n">
        <f aca="false">C14*Assumptions!$B$5</f>
        <v>7110000</v>
      </c>
      <c r="E14" s="9" t="n">
        <f aca="false">D14*Assumptions!$B$6</f>
        <v>1279800</v>
      </c>
      <c r="F14" s="9" t="n">
        <f aca="false">C14*Assumptions!$B$7</f>
        <v>581727.272727273</v>
      </c>
      <c r="G14" s="9" t="n">
        <f aca="false">E14-F14</f>
        <v>698072.727272727</v>
      </c>
      <c r="H14" s="9" t="n">
        <f aca="false">Assumptions!$B$8</f>
        <v>450000</v>
      </c>
      <c r="I14" s="10" t="n">
        <f aca="false">G14-H14</f>
        <v>248072.727272727</v>
      </c>
      <c r="J14" s="10" t="n">
        <f aca="false">J13+I14</f>
        <v>-937636.363636363</v>
      </c>
    </row>
    <row r="15" customFormat="false" ht="15" hidden="false" customHeight="false" outlineLevel="0" collapsed="false">
      <c r="A15" s="4" t="n">
        <v>11</v>
      </c>
      <c r="B15" s="9" t="n">
        <f aca="false">Assumptions!$B$10+(Assumptions!$B$11-Assumptions!$B$10)*(A15-1)/11</f>
        <v>465.454545454545</v>
      </c>
      <c r="C15" s="9" t="n">
        <f aca="false">B15*Assumptions!$B$13</f>
        <v>13963.6363636364</v>
      </c>
      <c r="D15" s="9" t="n">
        <f aca="false">C15*Assumptions!$B$5</f>
        <v>7680000</v>
      </c>
      <c r="E15" s="9" t="n">
        <f aca="false">D15*Assumptions!$B$6</f>
        <v>1382400</v>
      </c>
      <c r="F15" s="9" t="n">
        <f aca="false">C15*Assumptions!$B$7</f>
        <v>628363.636363636</v>
      </c>
      <c r="G15" s="9" t="n">
        <f aca="false">E15-F15</f>
        <v>754036.363636364</v>
      </c>
      <c r="H15" s="9" t="n">
        <f aca="false">Assumptions!$B$8</f>
        <v>450000</v>
      </c>
      <c r="I15" s="10" t="n">
        <f aca="false">G15-H15</f>
        <v>304036.363636364</v>
      </c>
      <c r="J15" s="10" t="n">
        <f aca="false">J14+I15</f>
        <v>-633600</v>
      </c>
    </row>
    <row r="16" customFormat="false" ht="15" hidden="false" customHeight="false" outlineLevel="0" collapsed="false">
      <c r="A16" s="4" t="n">
        <v>12</v>
      </c>
      <c r="B16" s="9" t="n">
        <f aca="false">Assumptions!$B$10+(Assumptions!$B$11-Assumptions!$B$10)*(A16-1)/11</f>
        <v>500</v>
      </c>
      <c r="C16" s="9" t="n">
        <f aca="false">B16*Assumptions!$B$13</f>
        <v>15000</v>
      </c>
      <c r="D16" s="9" t="n">
        <f aca="false">C16*Assumptions!$B$5</f>
        <v>8250000</v>
      </c>
      <c r="E16" s="9" t="n">
        <f aca="false">D16*Assumptions!$B$6</f>
        <v>1485000</v>
      </c>
      <c r="F16" s="9" t="n">
        <f aca="false">C16*Assumptions!$B$7</f>
        <v>675000</v>
      </c>
      <c r="G16" s="9" t="n">
        <f aca="false">E16-F16</f>
        <v>810000</v>
      </c>
      <c r="H16" s="9" t="n">
        <f aca="false">Assumptions!$B$8</f>
        <v>450000</v>
      </c>
      <c r="I16" s="10" t="n">
        <f aca="false">G16-H16</f>
        <v>360000</v>
      </c>
      <c r="J16" s="10" t="n">
        <f aca="false">J15+I16</f>
        <v>-273600</v>
      </c>
    </row>
    <row r="17" customFormat="false" ht="15" hidden="false" customHeight="false" outlineLevel="0" collapsed="false">
      <c r="A17" s="4" t="n">
        <v>13</v>
      </c>
      <c r="B17" s="9" t="n">
        <f aca="false">Assumptions!$B$11+(Assumptions!$B$12-Assumptions!$B$11)*(A17-12)/12</f>
        <v>533.333333333333</v>
      </c>
      <c r="C17" s="9" t="n">
        <f aca="false">B17*Assumptions!$B$13</f>
        <v>16000</v>
      </c>
      <c r="D17" s="9" t="n">
        <f aca="false">C17*Assumptions!$B$5</f>
        <v>8800000</v>
      </c>
      <c r="E17" s="9" t="n">
        <f aca="false">D17*Assumptions!$B$6</f>
        <v>1584000</v>
      </c>
      <c r="F17" s="9" t="n">
        <f aca="false">C17*Assumptions!$B$7</f>
        <v>720000</v>
      </c>
      <c r="G17" s="9" t="n">
        <f aca="false">E17-F17</f>
        <v>864000</v>
      </c>
      <c r="H17" s="9" t="n">
        <f aca="false">Assumptions!$B$8</f>
        <v>450000</v>
      </c>
      <c r="I17" s="10" t="n">
        <f aca="false">G17-H17</f>
        <v>414000</v>
      </c>
      <c r="J17" s="10" t="n">
        <f aca="false">J16+I17</f>
        <v>140400</v>
      </c>
    </row>
    <row r="18" customFormat="false" ht="15" hidden="false" customHeight="false" outlineLevel="0" collapsed="false">
      <c r="A18" s="4" t="n">
        <v>14</v>
      </c>
      <c r="B18" s="9" t="n">
        <f aca="false">Assumptions!$B$11+(Assumptions!$B$12-Assumptions!$B$11)*(A18-12)/12</f>
        <v>566.666666666667</v>
      </c>
      <c r="C18" s="9" t="n">
        <f aca="false">B18*Assumptions!$B$13</f>
        <v>17000</v>
      </c>
      <c r="D18" s="9" t="n">
        <f aca="false">C18*Assumptions!$B$5</f>
        <v>9350000</v>
      </c>
      <c r="E18" s="9" t="n">
        <f aca="false">D18*Assumptions!$B$6</f>
        <v>1683000</v>
      </c>
      <c r="F18" s="9" t="n">
        <f aca="false">C18*Assumptions!$B$7</f>
        <v>765000</v>
      </c>
      <c r="G18" s="9" t="n">
        <f aca="false">E18-F18</f>
        <v>918000</v>
      </c>
      <c r="H18" s="9" t="n">
        <f aca="false">Assumptions!$B$8</f>
        <v>450000</v>
      </c>
      <c r="I18" s="10" t="n">
        <f aca="false">G18-H18</f>
        <v>468000</v>
      </c>
      <c r="J18" s="10" t="n">
        <f aca="false">J17+I18</f>
        <v>608400.000000001</v>
      </c>
    </row>
    <row r="19" customFormat="false" ht="15" hidden="false" customHeight="false" outlineLevel="0" collapsed="false">
      <c r="A19" s="4" t="n">
        <v>15</v>
      </c>
      <c r="B19" s="9" t="n">
        <f aca="false">Assumptions!$B$11+(Assumptions!$B$12-Assumptions!$B$11)*(A19-12)/12</f>
        <v>600</v>
      </c>
      <c r="C19" s="9" t="n">
        <f aca="false">B19*Assumptions!$B$13</f>
        <v>18000</v>
      </c>
      <c r="D19" s="9" t="n">
        <f aca="false">C19*Assumptions!$B$5</f>
        <v>9900000</v>
      </c>
      <c r="E19" s="9" t="n">
        <f aca="false">D19*Assumptions!$B$6</f>
        <v>1782000</v>
      </c>
      <c r="F19" s="9" t="n">
        <f aca="false">C19*Assumptions!$B$7</f>
        <v>810000</v>
      </c>
      <c r="G19" s="9" t="n">
        <f aca="false">E19-F19</f>
        <v>972000</v>
      </c>
      <c r="H19" s="9" t="n">
        <f aca="false">Assumptions!$B$8</f>
        <v>450000</v>
      </c>
      <c r="I19" s="10" t="n">
        <f aca="false">G19-H19</f>
        <v>522000</v>
      </c>
      <c r="J19" s="10" t="n">
        <f aca="false">J18+I19</f>
        <v>1130400</v>
      </c>
    </row>
    <row r="20" customFormat="false" ht="15" hidden="false" customHeight="false" outlineLevel="0" collapsed="false">
      <c r="A20" s="4" t="n">
        <v>16</v>
      </c>
      <c r="B20" s="9" t="n">
        <f aca="false">Assumptions!$B$11+(Assumptions!$B$12-Assumptions!$B$11)*(A20-12)/12</f>
        <v>633.333333333333</v>
      </c>
      <c r="C20" s="9" t="n">
        <f aca="false">B20*Assumptions!$B$13</f>
        <v>19000</v>
      </c>
      <c r="D20" s="9" t="n">
        <f aca="false">C20*Assumptions!$B$5</f>
        <v>10450000</v>
      </c>
      <c r="E20" s="9" t="n">
        <f aca="false">D20*Assumptions!$B$6</f>
        <v>1881000</v>
      </c>
      <c r="F20" s="9" t="n">
        <f aca="false">C20*Assumptions!$B$7</f>
        <v>855000</v>
      </c>
      <c r="G20" s="9" t="n">
        <f aca="false">E20-F20</f>
        <v>1026000</v>
      </c>
      <c r="H20" s="9" t="n">
        <f aca="false">Assumptions!$B$8</f>
        <v>450000</v>
      </c>
      <c r="I20" s="10" t="n">
        <f aca="false">G20-H20</f>
        <v>576000</v>
      </c>
      <c r="J20" s="10" t="n">
        <f aca="false">J19+I20</f>
        <v>1706400</v>
      </c>
    </row>
    <row r="21" customFormat="false" ht="15" hidden="false" customHeight="false" outlineLevel="0" collapsed="false">
      <c r="A21" s="4" t="n">
        <v>17</v>
      </c>
      <c r="B21" s="9" t="n">
        <f aca="false">Assumptions!$B$11+(Assumptions!$B$12-Assumptions!$B$11)*(A21-12)/12</f>
        <v>666.666666666667</v>
      </c>
      <c r="C21" s="9" t="n">
        <f aca="false">B21*Assumptions!$B$13</f>
        <v>20000</v>
      </c>
      <c r="D21" s="9" t="n">
        <f aca="false">C21*Assumptions!$B$5</f>
        <v>11000000</v>
      </c>
      <c r="E21" s="9" t="n">
        <f aca="false">D21*Assumptions!$B$6</f>
        <v>1980000</v>
      </c>
      <c r="F21" s="9" t="n">
        <f aca="false">C21*Assumptions!$B$7</f>
        <v>900000</v>
      </c>
      <c r="G21" s="9" t="n">
        <f aca="false">E21-F21</f>
        <v>1080000</v>
      </c>
      <c r="H21" s="9" t="n">
        <f aca="false">Assumptions!$B$8</f>
        <v>450000</v>
      </c>
      <c r="I21" s="10" t="n">
        <f aca="false">G21-H21</f>
        <v>630000</v>
      </c>
      <c r="J21" s="10" t="n">
        <f aca="false">J20+I21</f>
        <v>2336400</v>
      </c>
    </row>
    <row r="22" customFormat="false" ht="15" hidden="false" customHeight="false" outlineLevel="0" collapsed="false">
      <c r="A22" s="4" t="n">
        <v>18</v>
      </c>
      <c r="B22" s="9" t="n">
        <f aca="false">Assumptions!$B$11+(Assumptions!$B$12-Assumptions!$B$11)*(A22-12)/12</f>
        <v>700</v>
      </c>
      <c r="C22" s="9" t="n">
        <f aca="false">B22*Assumptions!$B$13</f>
        <v>21000</v>
      </c>
      <c r="D22" s="9" t="n">
        <f aca="false">C22*Assumptions!$B$5</f>
        <v>11550000</v>
      </c>
      <c r="E22" s="9" t="n">
        <f aca="false">D22*Assumptions!$B$6</f>
        <v>2079000</v>
      </c>
      <c r="F22" s="9" t="n">
        <f aca="false">C22*Assumptions!$B$7</f>
        <v>945000</v>
      </c>
      <c r="G22" s="9" t="n">
        <f aca="false">E22-F22</f>
        <v>1134000</v>
      </c>
      <c r="H22" s="9" t="n">
        <f aca="false">Assumptions!$B$8</f>
        <v>450000</v>
      </c>
      <c r="I22" s="10" t="n">
        <f aca="false">G22-H22</f>
        <v>684000</v>
      </c>
      <c r="J22" s="10" t="n">
        <f aca="false">J21+I22</f>
        <v>3020400</v>
      </c>
    </row>
    <row r="23" customFormat="false" ht="15" hidden="false" customHeight="false" outlineLevel="0" collapsed="false">
      <c r="A23" s="4" t="n">
        <v>19</v>
      </c>
      <c r="B23" s="9" t="n">
        <f aca="false">Assumptions!$B$11+(Assumptions!$B$12-Assumptions!$B$11)*(A23-12)/12</f>
        <v>733.333333333333</v>
      </c>
      <c r="C23" s="9" t="n">
        <f aca="false">B23*Assumptions!$B$13</f>
        <v>22000</v>
      </c>
      <c r="D23" s="9" t="n">
        <f aca="false">C23*Assumptions!$B$5</f>
        <v>12100000</v>
      </c>
      <c r="E23" s="9" t="n">
        <f aca="false">D23*Assumptions!$B$6</f>
        <v>2178000</v>
      </c>
      <c r="F23" s="9" t="n">
        <f aca="false">C23*Assumptions!$B$7</f>
        <v>990000</v>
      </c>
      <c r="G23" s="9" t="n">
        <f aca="false">E23-F23</f>
        <v>1188000</v>
      </c>
      <c r="H23" s="9" t="n">
        <f aca="false">Assumptions!$B$8</f>
        <v>450000</v>
      </c>
      <c r="I23" s="10" t="n">
        <f aca="false">G23-H23</f>
        <v>738000</v>
      </c>
      <c r="J23" s="10" t="n">
        <f aca="false">J22+I23</f>
        <v>3758400</v>
      </c>
    </row>
    <row r="24" customFormat="false" ht="15" hidden="false" customHeight="false" outlineLevel="0" collapsed="false">
      <c r="A24" s="4" t="n">
        <v>20</v>
      </c>
      <c r="B24" s="9" t="n">
        <f aca="false">Assumptions!$B$11+(Assumptions!$B$12-Assumptions!$B$11)*(A24-12)/12</f>
        <v>766.666666666667</v>
      </c>
      <c r="C24" s="9" t="n">
        <f aca="false">B24*Assumptions!$B$13</f>
        <v>23000</v>
      </c>
      <c r="D24" s="9" t="n">
        <f aca="false">C24*Assumptions!$B$5</f>
        <v>12650000</v>
      </c>
      <c r="E24" s="9" t="n">
        <f aca="false">D24*Assumptions!$B$6</f>
        <v>2277000</v>
      </c>
      <c r="F24" s="9" t="n">
        <f aca="false">C24*Assumptions!$B$7</f>
        <v>1035000</v>
      </c>
      <c r="G24" s="9" t="n">
        <f aca="false">E24-F24</f>
        <v>1242000</v>
      </c>
      <c r="H24" s="9" t="n">
        <f aca="false">Assumptions!$B$8</f>
        <v>450000</v>
      </c>
      <c r="I24" s="10" t="n">
        <f aca="false">G24-H24</f>
        <v>792000.000000001</v>
      </c>
      <c r="J24" s="10" t="n">
        <f aca="false">J23+I24</f>
        <v>4550400</v>
      </c>
    </row>
    <row r="25" customFormat="false" ht="15" hidden="false" customHeight="false" outlineLevel="0" collapsed="false">
      <c r="A25" s="4" t="n">
        <v>21</v>
      </c>
      <c r="B25" s="9" t="n">
        <f aca="false">Assumptions!$B$11+(Assumptions!$B$12-Assumptions!$B$11)*(A25-12)/12</f>
        <v>800</v>
      </c>
      <c r="C25" s="9" t="n">
        <f aca="false">B25*Assumptions!$B$13</f>
        <v>24000</v>
      </c>
      <c r="D25" s="9" t="n">
        <f aca="false">C25*Assumptions!$B$5</f>
        <v>13200000</v>
      </c>
      <c r="E25" s="9" t="n">
        <f aca="false">D25*Assumptions!$B$6</f>
        <v>2376000</v>
      </c>
      <c r="F25" s="9" t="n">
        <f aca="false">C25*Assumptions!$B$7</f>
        <v>1080000</v>
      </c>
      <c r="G25" s="9" t="n">
        <f aca="false">E25-F25</f>
        <v>1296000</v>
      </c>
      <c r="H25" s="9" t="n">
        <f aca="false">Assumptions!$B$8</f>
        <v>450000</v>
      </c>
      <c r="I25" s="10" t="n">
        <f aca="false">G25-H25</f>
        <v>846000</v>
      </c>
      <c r="J25" s="10" t="n">
        <f aca="false">J24+I25</f>
        <v>5396400</v>
      </c>
    </row>
    <row r="26" customFormat="false" ht="15" hidden="false" customHeight="false" outlineLevel="0" collapsed="false">
      <c r="A26" s="4" t="n">
        <v>22</v>
      </c>
      <c r="B26" s="9" t="n">
        <f aca="false">Assumptions!$B$11+(Assumptions!$B$12-Assumptions!$B$11)*(A26-12)/12</f>
        <v>833.333333333333</v>
      </c>
      <c r="C26" s="9" t="n">
        <f aca="false">B26*Assumptions!$B$13</f>
        <v>25000</v>
      </c>
      <c r="D26" s="9" t="n">
        <f aca="false">C26*Assumptions!$B$5</f>
        <v>13750000</v>
      </c>
      <c r="E26" s="9" t="n">
        <f aca="false">D26*Assumptions!$B$6</f>
        <v>2475000</v>
      </c>
      <c r="F26" s="9" t="n">
        <f aca="false">C26*Assumptions!$B$7</f>
        <v>1125000</v>
      </c>
      <c r="G26" s="9" t="n">
        <f aca="false">E26-F26</f>
        <v>1350000</v>
      </c>
      <c r="H26" s="9" t="n">
        <f aca="false">Assumptions!$B$8</f>
        <v>450000</v>
      </c>
      <c r="I26" s="10" t="n">
        <f aca="false">G26-H26</f>
        <v>900000</v>
      </c>
      <c r="J26" s="10" t="n">
        <f aca="false">J25+I26</f>
        <v>6296400</v>
      </c>
    </row>
    <row r="27" customFormat="false" ht="15" hidden="false" customHeight="false" outlineLevel="0" collapsed="false">
      <c r="A27" s="4" t="n">
        <v>23</v>
      </c>
      <c r="B27" s="9" t="n">
        <f aca="false">Assumptions!$B$11+(Assumptions!$B$12-Assumptions!$B$11)*(A27-12)/12</f>
        <v>866.666666666667</v>
      </c>
      <c r="C27" s="9" t="n">
        <f aca="false">B27*Assumptions!$B$13</f>
        <v>26000</v>
      </c>
      <c r="D27" s="9" t="n">
        <f aca="false">C27*Assumptions!$B$5</f>
        <v>14300000</v>
      </c>
      <c r="E27" s="9" t="n">
        <f aca="false">D27*Assumptions!$B$6</f>
        <v>2574000</v>
      </c>
      <c r="F27" s="9" t="n">
        <f aca="false">C27*Assumptions!$B$7</f>
        <v>1170000</v>
      </c>
      <c r="G27" s="9" t="n">
        <f aca="false">E27-F27</f>
        <v>1404000</v>
      </c>
      <c r="H27" s="9" t="n">
        <f aca="false">Assumptions!$B$8</f>
        <v>450000</v>
      </c>
      <c r="I27" s="10" t="n">
        <f aca="false">G27-H27</f>
        <v>954000</v>
      </c>
      <c r="J27" s="10" t="n">
        <f aca="false">J26+I27</f>
        <v>7250400</v>
      </c>
    </row>
    <row r="28" customFormat="false" ht="15" hidden="false" customHeight="false" outlineLevel="0" collapsed="false">
      <c r="A28" s="4" t="n">
        <v>24</v>
      </c>
      <c r="B28" s="9" t="n">
        <f aca="false">Assumptions!$B$11+(Assumptions!$B$12-Assumptions!$B$11)*(A28-12)/12</f>
        <v>900</v>
      </c>
      <c r="C28" s="9" t="n">
        <f aca="false">B28*Assumptions!$B$13</f>
        <v>27000</v>
      </c>
      <c r="D28" s="9" t="n">
        <f aca="false">C28*Assumptions!$B$5</f>
        <v>14850000</v>
      </c>
      <c r="E28" s="9" t="n">
        <f aca="false">D28*Assumptions!$B$6</f>
        <v>2673000</v>
      </c>
      <c r="F28" s="9" t="n">
        <f aca="false">C28*Assumptions!$B$7</f>
        <v>1215000</v>
      </c>
      <c r="G28" s="9" t="n">
        <f aca="false">E28-F28</f>
        <v>1458000</v>
      </c>
      <c r="H28" s="9" t="n">
        <f aca="false">Assumptions!$B$8</f>
        <v>450000</v>
      </c>
      <c r="I28" s="10" t="n">
        <f aca="false">G28-H28</f>
        <v>1008000</v>
      </c>
      <c r="J28" s="10" t="n">
        <f aca="false">J27+I28</f>
        <v>8258400</v>
      </c>
    </row>
    <row r="30" customFormat="false" ht="15" hidden="false" customHeight="false" outlineLevel="0" collapsed="false">
      <c r="A30" s="11" t="s">
        <v>38</v>
      </c>
      <c r="B30" s="11"/>
      <c r="C30" s="11"/>
      <c r="D30" s="11"/>
      <c r="E30" s="11"/>
      <c r="F30" s="11"/>
      <c r="G30" s="12" t="n">
        <f aca="false">IFERROR(INDEX(A5:A28,MATCH(TRUE(),INDEX(J5:J28&gt;0,0),0)),"beyond 24 months")</f>
        <v>13</v>
      </c>
    </row>
  </sheetData>
  <mergeCells count="1"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3" t="s">
        <v>41</v>
      </c>
      <c r="B4" s="3" t="s">
        <v>3</v>
      </c>
    </row>
    <row r="5" customFormat="false" ht="15" hidden="false" customHeight="false" outlineLevel="0" collapsed="false">
      <c r="A5" s="4" t="s">
        <v>42</v>
      </c>
      <c r="B5" s="9" t="n">
        <f aca="false">Assumptions!$B$9*Assumptions!$B$14</f>
        <v>9000000</v>
      </c>
    </row>
    <row r="6" customFormat="false" ht="15" hidden="false" customHeight="false" outlineLevel="0" collapsed="false">
      <c r="A6" s="4" t="s">
        <v>43</v>
      </c>
      <c r="B6" s="9" t="n">
        <f aca="false">'Store Breakeven Model'!G28</f>
        <v>1458000</v>
      </c>
    </row>
    <row r="7" customFormat="false" ht="15" hidden="false" customHeight="false" outlineLevel="0" collapsed="false">
      <c r="A7" s="4" t="s">
        <v>44</v>
      </c>
      <c r="B7" s="9" t="n">
        <f aca="false">B6*Assumptions!$B$14</f>
        <v>14580000</v>
      </c>
    </row>
    <row r="8" customFormat="false" ht="15" hidden="false" customHeight="false" outlineLevel="0" collapsed="false">
      <c r="A8" s="4" t="s">
        <v>45</v>
      </c>
      <c r="B8" s="13" t="n">
        <f aca="false">'Store Breakeven Model'!G30</f>
        <v>13</v>
      </c>
    </row>
    <row r="9" customFormat="false" ht="15" hidden="false" customHeight="false" outlineLevel="0" collapsed="false">
      <c r="A9" s="4" t="s">
        <v>46</v>
      </c>
      <c r="B9" s="13" t="n">
        <f aca="false">Assumptions!$B$14</f>
        <v>10</v>
      </c>
    </row>
    <row r="11" customFormat="false" ht="45" hidden="false" customHeight="true" outlineLevel="0" collapsed="false">
      <c r="A11" s="14" t="s">
        <v>47</v>
      </c>
      <c r="B11" s="14"/>
      <c r="C11" s="14"/>
      <c r="D11" s="14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2026-07-17T17:02:58Z</dcterms:created>
  <dc:creator>openpyxl</dc:creator>
  <dc:description/>
  <dc:language>en-US</dc:language>
  <cp:lastModifiedBy/>
  <dcterms:modified xsi:type="dcterms:W3CDTF">2026-07-17T17:03:00Z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